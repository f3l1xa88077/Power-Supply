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4fd901eb976e385/Desktop/Power Supply/"/>
    </mc:Choice>
  </mc:AlternateContent>
  <xr:revisionPtr revIDLastSave="406" documentId="11_F25DC773A252ABDACC10487EC95C72D65BDE58EF" xr6:coauthVersionLast="47" xr6:coauthVersionMax="47" xr10:uidLastSave="{D58204A0-B3F4-4E5E-ADDA-C6F9C32CB9FD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4" i="1"/>
  <c r="R5" i="1"/>
  <c r="R6" i="1"/>
  <c r="I55" i="1"/>
  <c r="L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K4" i="1"/>
  <c r="M24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G24" i="1" s="1"/>
  <c r="I51" i="1"/>
  <c r="I5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</calcChain>
</file>

<file path=xl/sharedStrings.xml><?xml version="1.0" encoding="utf-8"?>
<sst xmlns="http://schemas.openxmlformats.org/spreadsheetml/2006/main" count="28" uniqueCount="19">
  <si>
    <t>Vsense</t>
  </si>
  <si>
    <t>No Feedback (Calculate Resistance)</t>
  </si>
  <si>
    <t>X</t>
  </si>
  <si>
    <t>Y</t>
  </si>
  <si>
    <t>Input</t>
  </si>
  <si>
    <t>Output</t>
  </si>
  <si>
    <t>Analog</t>
  </si>
  <si>
    <t>Error</t>
  </si>
  <si>
    <t>Go into graph filters to bring back 256 tap</t>
  </si>
  <si>
    <t>Avg. Error</t>
  </si>
  <si>
    <t>Ratio</t>
  </si>
  <si>
    <t>R4</t>
  </si>
  <si>
    <t>R3</t>
  </si>
  <si>
    <t>Feedback System v1 (128 Tap)</t>
  </si>
  <si>
    <t>Vsense (V)</t>
  </si>
  <si>
    <t>I/O Error</t>
  </si>
  <si>
    <t>Vsense Error</t>
  </si>
  <si>
    <t>Avg. Vsense Error</t>
  </si>
  <si>
    <t>Feedback System v2 (256 Tap) (0.1V accuracy)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</si>
</sst>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/>
              <a:t>Tracking Error vs. Input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Feedback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Data!$B$4:$B$24</c:f>
              <c:numCache>
                <c:formatCode>General</c:formatCode>
                <c:ptCount val="21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4.8</c:v>
                </c:pt>
                <c:pt idx="15">
                  <c:v>5</c:v>
                </c:pt>
                <c:pt idx="16">
                  <c:v>5.2</c:v>
                </c:pt>
                <c:pt idx="17">
                  <c:v>5.4</c:v>
                </c:pt>
                <c:pt idx="18">
                  <c:v>5.6</c:v>
                </c:pt>
                <c:pt idx="19">
                  <c:v>5.8</c:v>
                </c:pt>
                <c:pt idx="20">
                  <c:v>6</c:v>
                </c:pt>
              </c:numCache>
            </c:numRef>
          </c:xVal>
          <c:yVal>
            <c:numRef>
              <c:f>Data!$E$4:$E$24</c:f>
              <c:numCache>
                <c:formatCode>General</c:formatCode>
                <c:ptCount val="21"/>
                <c:pt idx="0">
                  <c:v>-0.54</c:v>
                </c:pt>
                <c:pt idx="1">
                  <c:v>-0.62999999999999989</c:v>
                </c:pt>
                <c:pt idx="2">
                  <c:v>-0.69</c:v>
                </c:pt>
                <c:pt idx="3">
                  <c:v>-0.73</c:v>
                </c:pt>
                <c:pt idx="4">
                  <c:v>-0.7200000000000002</c:v>
                </c:pt>
                <c:pt idx="5">
                  <c:v>-0.75999999999999979</c:v>
                </c:pt>
                <c:pt idx="6">
                  <c:v>-0.73999999999999977</c:v>
                </c:pt>
                <c:pt idx="7">
                  <c:v>-0.69999999999999973</c:v>
                </c:pt>
                <c:pt idx="8">
                  <c:v>-0.66999999999999948</c:v>
                </c:pt>
                <c:pt idx="9">
                  <c:v>-0.60000000000000053</c:v>
                </c:pt>
                <c:pt idx="10">
                  <c:v>-0.54</c:v>
                </c:pt>
                <c:pt idx="11">
                  <c:v>-0.5</c:v>
                </c:pt>
                <c:pt idx="12">
                  <c:v>-0.38999999999999968</c:v>
                </c:pt>
                <c:pt idx="13">
                  <c:v>-0.38000000000000078</c:v>
                </c:pt>
                <c:pt idx="14">
                  <c:v>-0.28000000000000025</c:v>
                </c:pt>
                <c:pt idx="15">
                  <c:v>-0.20000000000000018</c:v>
                </c:pt>
                <c:pt idx="16">
                  <c:v>-0.12000000000000011</c:v>
                </c:pt>
                <c:pt idx="17">
                  <c:v>-4.0000000000000036E-2</c:v>
                </c:pt>
                <c:pt idx="18">
                  <c:v>2.9999999999999361E-2</c:v>
                </c:pt>
                <c:pt idx="19">
                  <c:v>0.22999999999999954</c:v>
                </c:pt>
                <c:pt idx="20">
                  <c:v>-0.17999999999999972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AE-4A24-B745-011224105D67}"/>
            </c:ext>
          </c:extLst>
        </c:ser>
        <c:ser>
          <c:idx val="1"/>
          <c:order val="1"/>
          <c:tx>
            <c:v>Feedback (128 Tap)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Data!$H$4:$H$24</c:f>
              <c:numCache>
                <c:formatCode>General</c:formatCode>
                <c:ptCount val="21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4.8</c:v>
                </c:pt>
                <c:pt idx="15">
                  <c:v>5</c:v>
                </c:pt>
                <c:pt idx="16">
                  <c:v>5.2</c:v>
                </c:pt>
                <c:pt idx="17">
                  <c:v>5.4</c:v>
                </c:pt>
                <c:pt idx="18">
                  <c:v>5.6</c:v>
                </c:pt>
                <c:pt idx="19">
                  <c:v>5.8</c:v>
                </c:pt>
                <c:pt idx="20">
                  <c:v>6</c:v>
                </c:pt>
              </c:numCache>
            </c:numRef>
          </c:xVal>
          <c:yVal>
            <c:numRef>
              <c:f>Data!$K$4:$K$24</c:f>
              <c:numCache>
                <c:formatCode>General</c:formatCode>
                <c:ptCount val="21"/>
                <c:pt idx="0">
                  <c:v>-0.18999999999999995</c:v>
                </c:pt>
                <c:pt idx="1">
                  <c:v>-5.9999999999999609E-2</c:v>
                </c:pt>
                <c:pt idx="2">
                  <c:v>-5.0000000000000266E-2</c:v>
                </c:pt>
                <c:pt idx="3">
                  <c:v>-4.0000000000000036E-2</c:v>
                </c:pt>
                <c:pt idx="4">
                  <c:v>-6.0000000000000053E-2</c:v>
                </c:pt>
                <c:pt idx="5">
                  <c:v>-6.999999999999984E-2</c:v>
                </c:pt>
                <c:pt idx="6">
                  <c:v>-6.999999999999984E-2</c:v>
                </c:pt>
                <c:pt idx="7">
                  <c:v>-5.0000000000000266E-2</c:v>
                </c:pt>
                <c:pt idx="8">
                  <c:v>-8.0000000000000071E-2</c:v>
                </c:pt>
                <c:pt idx="9">
                  <c:v>-4.0000000000000036E-2</c:v>
                </c:pt>
                <c:pt idx="10">
                  <c:v>-4.0000000000000036E-2</c:v>
                </c:pt>
                <c:pt idx="11">
                  <c:v>-6.9999999999999396E-2</c:v>
                </c:pt>
                <c:pt idx="12">
                  <c:v>-0.13999999999999968</c:v>
                </c:pt>
                <c:pt idx="13">
                  <c:v>-0.10000000000000053</c:v>
                </c:pt>
                <c:pt idx="14">
                  <c:v>-8.0000000000000071E-2</c:v>
                </c:pt>
                <c:pt idx="15">
                  <c:v>-8.0000000000000071E-2</c:v>
                </c:pt>
                <c:pt idx="16">
                  <c:v>-0.12000000000000011</c:v>
                </c:pt>
                <c:pt idx="17">
                  <c:v>-0.16999999999999993</c:v>
                </c:pt>
                <c:pt idx="18">
                  <c:v>2.9999999999999361E-2</c:v>
                </c:pt>
                <c:pt idx="19">
                  <c:v>-6.0000000000000497E-2</c:v>
                </c:pt>
                <c:pt idx="20">
                  <c:v>-0.17999999999999972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AE-4A24-B745-011224105D6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Data!$N$6:$N$24</c:f>
              <c:numCache>
                <c:formatCode>General</c:formatCode>
                <c:ptCount val="19"/>
                <c:pt idx="0">
                  <c:v>2.4</c:v>
                </c:pt>
                <c:pt idx="1">
                  <c:v>2.6</c:v>
                </c:pt>
                <c:pt idx="2">
                  <c:v>2.8</c:v>
                </c:pt>
                <c:pt idx="3">
                  <c:v>3</c:v>
                </c:pt>
                <c:pt idx="4">
                  <c:v>3.2</c:v>
                </c:pt>
                <c:pt idx="5">
                  <c:v>3.4</c:v>
                </c:pt>
                <c:pt idx="6">
                  <c:v>3.6</c:v>
                </c:pt>
                <c:pt idx="7">
                  <c:v>3.8</c:v>
                </c:pt>
                <c:pt idx="8">
                  <c:v>4</c:v>
                </c:pt>
                <c:pt idx="9">
                  <c:v>4.2</c:v>
                </c:pt>
                <c:pt idx="10">
                  <c:v>4.4000000000000004</c:v>
                </c:pt>
                <c:pt idx="11">
                  <c:v>4.5999999999999996</c:v>
                </c:pt>
                <c:pt idx="12">
                  <c:v>4.8</c:v>
                </c:pt>
                <c:pt idx="13">
                  <c:v>5</c:v>
                </c:pt>
                <c:pt idx="14">
                  <c:v>5.2</c:v>
                </c:pt>
                <c:pt idx="15">
                  <c:v>5.4</c:v>
                </c:pt>
                <c:pt idx="16">
                  <c:v>5.6</c:v>
                </c:pt>
                <c:pt idx="17">
                  <c:v>5.8</c:v>
                </c:pt>
                <c:pt idx="18">
                  <c:v>6</c:v>
                </c:pt>
              </c:numCache>
            </c:numRef>
          </c:xVal>
          <c:yVal>
            <c:numRef>
              <c:f>Data!$Q$6:$Q$24</c:f>
              <c:numCache>
                <c:formatCode>General</c:formatCode>
                <c:ptCount val="19"/>
                <c:pt idx="0">
                  <c:v>-0.14999999999999991</c:v>
                </c:pt>
                <c:pt idx="1">
                  <c:v>5.0000000000000266E-2</c:v>
                </c:pt>
                <c:pt idx="2">
                  <c:v>4.0000000000000036E-2</c:v>
                </c:pt>
                <c:pt idx="3">
                  <c:v>6.0000000000000053E-2</c:v>
                </c:pt>
                <c:pt idx="4">
                  <c:v>4.0000000000000036E-2</c:v>
                </c:pt>
                <c:pt idx="5">
                  <c:v>4.0000000000000036E-2</c:v>
                </c:pt>
                <c:pt idx="6">
                  <c:v>4.0000000000000036E-2</c:v>
                </c:pt>
                <c:pt idx="7">
                  <c:v>4.0000000000000036E-2</c:v>
                </c:pt>
                <c:pt idx="8">
                  <c:v>6.0000000000000053E-2</c:v>
                </c:pt>
                <c:pt idx="9">
                  <c:v>-9.9999999999997868E-3</c:v>
                </c:pt>
                <c:pt idx="10">
                  <c:v>0</c:v>
                </c:pt>
                <c:pt idx="11">
                  <c:v>-2.0000000000000462E-2</c:v>
                </c:pt>
                <c:pt idx="12">
                  <c:v>9.9999999999997868E-3</c:v>
                </c:pt>
                <c:pt idx="13">
                  <c:v>1.9999999999999574E-2</c:v>
                </c:pt>
                <c:pt idx="14">
                  <c:v>-9.9999999999997868E-3</c:v>
                </c:pt>
                <c:pt idx="15">
                  <c:v>-4.9999999999999822E-2</c:v>
                </c:pt>
                <c:pt idx="16">
                  <c:v>1.9999999999999574E-2</c:v>
                </c:pt>
                <c:pt idx="17">
                  <c:v>-7.0000000000000284E-2</c:v>
                </c:pt>
                <c:pt idx="18">
                  <c:v>-1.9999999999999574E-2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3E1-4D82-B0CC-A5A8E5FDC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198032"/>
        <c:axId val="1677198512"/>
        <c:extLst/>
      </c:scatterChart>
      <c:valAx>
        <c:axId val="1677198032"/>
        <c:scaling>
          <c:orientation val="minMax"/>
          <c:max val="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Input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8512"/>
        <c:crosses val="autoZero"/>
        <c:crossBetween val="midCat"/>
      </c:valAx>
      <c:valAx>
        <c:axId val="16771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Target</a:t>
                </a:r>
                <a:r>
                  <a:rPr lang="en-AU" baseline="0"/>
                  <a:t> Error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/>
              <a:t>Analog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Feedback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Data!$B$4:$B$24</c:f>
              <c:numCache>
                <c:formatCode>General</c:formatCode>
                <c:ptCount val="21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4.8</c:v>
                </c:pt>
                <c:pt idx="15">
                  <c:v>5</c:v>
                </c:pt>
                <c:pt idx="16">
                  <c:v>5.2</c:v>
                </c:pt>
                <c:pt idx="17">
                  <c:v>5.4</c:v>
                </c:pt>
                <c:pt idx="18">
                  <c:v>5.6</c:v>
                </c:pt>
                <c:pt idx="19">
                  <c:v>5.8</c:v>
                </c:pt>
                <c:pt idx="20">
                  <c:v>6</c:v>
                </c:pt>
              </c:numCache>
            </c:numRef>
          </c:xVal>
          <c:yVal>
            <c:numRef>
              <c:f>Data!$F$4:$F$24</c:f>
              <c:numCache>
                <c:formatCode>0.00</c:formatCode>
                <c:ptCount val="21"/>
                <c:pt idx="0">
                  <c:v>66.929133858267718</c:v>
                </c:pt>
                <c:pt idx="1">
                  <c:v>67.137809187279146</c:v>
                </c:pt>
                <c:pt idx="2">
                  <c:v>66.990291262135926</c:v>
                </c:pt>
                <c:pt idx="3">
                  <c:v>66.966966966966964</c:v>
                </c:pt>
                <c:pt idx="4">
                  <c:v>67.329545454545453</c:v>
                </c:pt>
                <c:pt idx="5">
                  <c:v>67.287234042553195</c:v>
                </c:pt>
                <c:pt idx="6">
                  <c:v>67.258883248730967</c:v>
                </c:pt>
                <c:pt idx="7">
                  <c:v>67.317073170731717</c:v>
                </c:pt>
                <c:pt idx="8">
                  <c:v>67.44730679156909</c:v>
                </c:pt>
                <c:pt idx="9">
                  <c:v>67.5</c:v>
                </c:pt>
                <c:pt idx="10">
                  <c:v>67.621145374449341</c:v>
                </c:pt>
                <c:pt idx="11">
                  <c:v>67.446808510638292</c:v>
                </c:pt>
                <c:pt idx="12">
                  <c:v>67.432150313152405</c:v>
                </c:pt>
                <c:pt idx="13">
                  <c:v>67.46987951807229</c:v>
                </c:pt>
                <c:pt idx="14">
                  <c:v>67.519685039370074</c:v>
                </c:pt>
                <c:pt idx="15">
                  <c:v>67.5</c:v>
                </c:pt>
                <c:pt idx="16">
                  <c:v>67.481203007518786</c:v>
                </c:pt>
                <c:pt idx="17">
                  <c:v>67.647058823529406</c:v>
                </c:pt>
                <c:pt idx="18">
                  <c:v>67.684021543985637</c:v>
                </c:pt>
                <c:pt idx="19">
                  <c:v>67.684021543985637</c:v>
                </c:pt>
                <c:pt idx="20">
                  <c:v>67.637540453074436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4-4908-8561-D46CB255E536}"/>
            </c:ext>
          </c:extLst>
        </c:ser>
        <c:ser>
          <c:idx val="1"/>
          <c:order val="1"/>
          <c:tx>
            <c:v>Feedback 128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Data!$H$4:$H$24</c:f>
              <c:numCache>
                <c:formatCode>General</c:formatCode>
                <c:ptCount val="21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4.8</c:v>
                </c:pt>
                <c:pt idx="15">
                  <c:v>5</c:v>
                </c:pt>
                <c:pt idx="16">
                  <c:v>5.2</c:v>
                </c:pt>
                <c:pt idx="17">
                  <c:v>5.4</c:v>
                </c:pt>
                <c:pt idx="18">
                  <c:v>5.6</c:v>
                </c:pt>
                <c:pt idx="19">
                  <c:v>5.8</c:v>
                </c:pt>
                <c:pt idx="20">
                  <c:v>6</c:v>
                </c:pt>
              </c:numCache>
            </c:numRef>
          </c:xVal>
          <c:yVal>
            <c:numRef>
              <c:f>Data!$L$4:$L$24</c:f>
              <c:numCache>
                <c:formatCode>0.00</c:formatCode>
                <c:ptCount val="21"/>
                <c:pt idx="0">
                  <c:v>66.666666666666671</c:v>
                </c:pt>
                <c:pt idx="1">
                  <c:v>66.371681415929203</c:v>
                </c:pt>
                <c:pt idx="2">
                  <c:v>66.938775510204081</c:v>
                </c:pt>
                <c:pt idx="3">
                  <c:v>67.045454545454547</c:v>
                </c:pt>
                <c:pt idx="4">
                  <c:v>67.132867132867133</c:v>
                </c:pt>
                <c:pt idx="5">
                  <c:v>67.100977198697066</c:v>
                </c:pt>
                <c:pt idx="6">
                  <c:v>66.972477064220186</c:v>
                </c:pt>
                <c:pt idx="7">
                  <c:v>67.246376811594203</c:v>
                </c:pt>
                <c:pt idx="8">
                  <c:v>67.119565217391298</c:v>
                </c:pt>
                <c:pt idx="9">
                  <c:v>67.1875</c:v>
                </c:pt>
                <c:pt idx="10">
                  <c:v>67.079207920792072</c:v>
                </c:pt>
                <c:pt idx="11">
                  <c:v>67.21311475409837</c:v>
                </c:pt>
                <c:pt idx="12">
                  <c:v>67.180616740088112</c:v>
                </c:pt>
                <c:pt idx="13">
                  <c:v>67.234042553191486</c:v>
                </c:pt>
                <c:pt idx="14">
                  <c:v>67.418032786885249</c:v>
                </c:pt>
                <c:pt idx="15">
                  <c:v>67.519685039370074</c:v>
                </c:pt>
                <c:pt idx="16">
                  <c:v>67.293233082706763</c:v>
                </c:pt>
                <c:pt idx="17">
                  <c:v>67.324955116696586</c:v>
                </c:pt>
                <c:pt idx="18">
                  <c:v>67.504488330341104</c:v>
                </c:pt>
                <c:pt idx="19">
                  <c:v>67.406143344709889</c:v>
                </c:pt>
                <c:pt idx="20">
                  <c:v>67.313915857605181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F4-4908-8561-D46CB255E536}"/>
            </c:ext>
          </c:extLst>
        </c:ser>
        <c:ser>
          <c:idx val="3"/>
          <c:order val="2"/>
          <c:tx>
            <c:v>Feedback 256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Data!$N$6:$N$24</c:f>
              <c:numCache>
                <c:formatCode>General</c:formatCode>
                <c:ptCount val="19"/>
                <c:pt idx="0">
                  <c:v>2.4</c:v>
                </c:pt>
                <c:pt idx="1">
                  <c:v>2.6</c:v>
                </c:pt>
                <c:pt idx="2">
                  <c:v>2.8</c:v>
                </c:pt>
                <c:pt idx="3">
                  <c:v>3</c:v>
                </c:pt>
                <c:pt idx="4">
                  <c:v>3.2</c:v>
                </c:pt>
                <c:pt idx="5">
                  <c:v>3.4</c:v>
                </c:pt>
                <c:pt idx="6">
                  <c:v>3.6</c:v>
                </c:pt>
                <c:pt idx="7">
                  <c:v>3.8</c:v>
                </c:pt>
                <c:pt idx="8">
                  <c:v>4</c:v>
                </c:pt>
                <c:pt idx="9">
                  <c:v>4.2</c:v>
                </c:pt>
                <c:pt idx="10">
                  <c:v>4.4000000000000004</c:v>
                </c:pt>
                <c:pt idx="11">
                  <c:v>4.5999999999999996</c:v>
                </c:pt>
                <c:pt idx="12">
                  <c:v>4.8</c:v>
                </c:pt>
                <c:pt idx="13">
                  <c:v>5</c:v>
                </c:pt>
                <c:pt idx="14">
                  <c:v>5.2</c:v>
                </c:pt>
                <c:pt idx="15">
                  <c:v>5.4</c:v>
                </c:pt>
                <c:pt idx="16">
                  <c:v>5.6</c:v>
                </c:pt>
                <c:pt idx="17">
                  <c:v>5.8</c:v>
                </c:pt>
                <c:pt idx="18">
                  <c:v>6</c:v>
                </c:pt>
              </c:numCache>
            </c:numRef>
          </c:xVal>
          <c:yVal>
            <c:numRef>
              <c:f>Data!$R$6:$R$24</c:f>
              <c:numCache>
                <c:formatCode>0.00</c:formatCode>
                <c:ptCount val="19"/>
                <c:pt idx="0">
                  <c:v>66.595294117647072</c:v>
                </c:pt>
                <c:pt idx="1">
                  <c:v>67.130196078431368</c:v>
                </c:pt>
                <c:pt idx="2">
                  <c:v>67.458695652173915</c:v>
                </c:pt>
                <c:pt idx="3">
                  <c:v>67.27210884353741</c:v>
                </c:pt>
                <c:pt idx="4">
                  <c:v>67.336708860759501</c:v>
                </c:pt>
                <c:pt idx="5">
                  <c:v>67.185119047619054</c:v>
                </c:pt>
                <c:pt idx="6">
                  <c:v>67.050561797752806</c:v>
                </c:pt>
                <c:pt idx="7">
                  <c:v>67.474468085106395</c:v>
                </c:pt>
                <c:pt idx="8">
                  <c:v>67.507614213197968</c:v>
                </c:pt>
                <c:pt idx="9">
                  <c:v>67.390023752969128</c:v>
                </c:pt>
                <c:pt idx="10">
                  <c:v>67.27</c:v>
                </c:pt>
                <c:pt idx="11">
                  <c:v>67.314285714285703</c:v>
                </c:pt>
                <c:pt idx="12">
                  <c:v>67.630480167014611</c:v>
                </c:pt>
                <c:pt idx="13">
                  <c:v>67.652208835341369</c:v>
                </c:pt>
                <c:pt idx="14">
                  <c:v>67.545489443378131</c:v>
                </c:pt>
                <c:pt idx="15">
                  <c:v>67.699449541284395</c:v>
                </c:pt>
                <c:pt idx="16">
                  <c:v>67.588888888888889</c:v>
                </c:pt>
                <c:pt idx="17">
                  <c:v>67.502896081771709</c:v>
                </c:pt>
                <c:pt idx="18">
                  <c:v>67.633554817275751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F1C-4292-98D3-5F46D73CA5ED}"/>
            </c:ext>
          </c:extLst>
        </c:ser>
        <c:ser>
          <c:idx val="2"/>
          <c:order val="3"/>
          <c:tx>
            <c:v>Target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Data!$H$50:$H$51</c:f>
              <c:numCache>
                <c:formatCode>0.00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xVal>
          <c:yVal>
            <c:numRef>
              <c:f>Data!$I$50:$I$51</c:f>
              <c:numCache>
                <c:formatCode>0.00</c:formatCode>
                <c:ptCount val="2"/>
                <c:pt idx="0">
                  <c:v>66.666666666666671</c:v>
                </c:pt>
                <c:pt idx="1">
                  <c:v>66.666666666666671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F4-4908-8561-D46CB255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198032"/>
        <c:axId val="1677198512"/>
        <c:extLst/>
      </c:scatterChart>
      <c:valAx>
        <c:axId val="1677198032"/>
        <c:scaling>
          <c:orientation val="minMax"/>
          <c:max val="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Input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8512"/>
        <c:crosses val="autoZero"/>
        <c:crossBetween val="midCat"/>
      </c:valAx>
      <c:valAx>
        <c:axId val="16771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Target</a:t>
                </a:r>
                <a:r>
                  <a:rPr lang="en-AU" baseline="0"/>
                  <a:t> Error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/>
              <a:t>Output vs Vsense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439501937150753"/>
                  <c:y val="-2.9286058867637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Data!$O$6:$O$24</c:f>
              <c:numCache>
                <c:formatCode>General</c:formatCode>
                <c:ptCount val="19"/>
                <c:pt idx="0">
                  <c:v>2.5499999999999998</c:v>
                </c:pt>
                <c:pt idx="1">
                  <c:v>2.5499999999999998</c:v>
                </c:pt>
                <c:pt idx="2">
                  <c:v>2.76</c:v>
                </c:pt>
                <c:pt idx="3">
                  <c:v>2.94</c:v>
                </c:pt>
                <c:pt idx="4">
                  <c:v>3.16</c:v>
                </c:pt>
                <c:pt idx="5">
                  <c:v>3.36</c:v>
                </c:pt>
                <c:pt idx="6">
                  <c:v>3.56</c:v>
                </c:pt>
                <c:pt idx="7">
                  <c:v>3.76</c:v>
                </c:pt>
                <c:pt idx="8">
                  <c:v>3.94</c:v>
                </c:pt>
                <c:pt idx="9">
                  <c:v>4.21</c:v>
                </c:pt>
                <c:pt idx="10">
                  <c:v>4.4000000000000004</c:v>
                </c:pt>
                <c:pt idx="11">
                  <c:v>4.62</c:v>
                </c:pt>
                <c:pt idx="12">
                  <c:v>4.79</c:v>
                </c:pt>
                <c:pt idx="13">
                  <c:v>4.9800000000000004</c:v>
                </c:pt>
                <c:pt idx="14">
                  <c:v>5.21</c:v>
                </c:pt>
                <c:pt idx="15">
                  <c:v>5.45</c:v>
                </c:pt>
                <c:pt idx="16">
                  <c:v>5.58</c:v>
                </c:pt>
                <c:pt idx="17">
                  <c:v>5.87</c:v>
                </c:pt>
                <c:pt idx="18">
                  <c:v>6.02</c:v>
                </c:pt>
              </c:numCache>
            </c:numRef>
          </c:xVal>
          <c:yVal>
            <c:numRef>
              <c:f>Data!$S$6:$S$24</c:f>
              <c:numCache>
                <c:formatCode>0.00</c:formatCode>
                <c:ptCount val="19"/>
                <c:pt idx="0">
                  <c:v>5.9999999999999609E-2</c:v>
                </c:pt>
                <c:pt idx="1">
                  <c:v>4.0000000000000036E-2</c:v>
                </c:pt>
                <c:pt idx="2">
                  <c:v>2.9999999999999805E-2</c:v>
                </c:pt>
                <c:pt idx="3">
                  <c:v>4.0000000000000036E-2</c:v>
                </c:pt>
                <c:pt idx="4">
                  <c:v>4.0000000000000036E-2</c:v>
                </c:pt>
                <c:pt idx="5">
                  <c:v>4.9999999999999822E-2</c:v>
                </c:pt>
                <c:pt idx="6">
                  <c:v>6.0000000000000053E-2</c:v>
                </c:pt>
                <c:pt idx="7">
                  <c:v>3.9999999999999591E-2</c:v>
                </c:pt>
                <c:pt idx="8">
                  <c:v>4.0000000000000036E-2</c:v>
                </c:pt>
                <c:pt idx="9">
                  <c:v>4.9999999999999822E-2</c:v>
                </c:pt>
                <c:pt idx="10">
                  <c:v>6.0000000000000497E-2</c:v>
                </c:pt>
                <c:pt idx="11">
                  <c:v>6.0000000000000497E-2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4.9999999999999822E-2</c:v>
                </c:pt>
                <c:pt idx="15">
                  <c:v>4.0000000000000036E-2</c:v>
                </c:pt>
                <c:pt idx="16">
                  <c:v>4.9999999999999822E-2</c:v>
                </c:pt>
                <c:pt idx="17">
                  <c:v>6.0000000000000497E-2</c:v>
                </c:pt>
                <c:pt idx="18">
                  <c:v>4.9999999999999822E-2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23-47CA-8CBB-AB3486FD0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198032"/>
        <c:axId val="1677198512"/>
        <c:extLst/>
      </c:scatterChart>
      <c:valAx>
        <c:axId val="1677198032"/>
        <c:scaling>
          <c:orientation val="minMax"/>
          <c:max val="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Input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8512"/>
        <c:crosses val="autoZero"/>
        <c:crossBetween val="midCat"/>
      </c:valAx>
      <c:valAx>
        <c:axId val="16771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Target</a:t>
                </a:r>
                <a:r>
                  <a:rPr lang="en-AU" baseline="0"/>
                  <a:t> Error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9913</xdr:colOff>
      <xdr:row>25</xdr:row>
      <xdr:rowOff>13898</xdr:rowOff>
    </xdr:from>
    <xdr:to>
      <xdr:col>6</xdr:col>
      <xdr:colOff>1615109</xdr:colOff>
      <xdr:row>46</xdr:row>
      <xdr:rowOff>157370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99F7B-4BFC-A23B-E41D-DEE31A73E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1697933</xdr:colOff>
      <xdr:row>25</xdr:row>
      <xdr:rowOff>1242</xdr:rowOff>
    </xdr:from>
    <xdr:to>
      <xdr:col>16</xdr:col>
      <xdr:colOff>372717</xdr:colOff>
      <xdr:row>46</xdr:row>
      <xdr:rowOff>140804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3CE94D-4976-44A6-B5F7-362D19A65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590551</xdr:colOff>
      <xdr:row>47</xdr:row>
      <xdr:rowOff>172182</xdr:rowOff>
    </xdr:from>
    <xdr:to>
      <xdr:col>20</xdr:col>
      <xdr:colOff>343858</xdr:colOff>
      <xdr:row>68</xdr:row>
      <xdr:rowOff>123442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729AB-7FB1-46AD-B96F-DDE88090D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5"/>
  <sheetViews>
    <sheetView tabSelected="1" zoomScaleNormal="100" workbookViewId="0">
      <selection activeCell="N3" sqref="N3"/>
    </sheetView>
  </sheetViews>
  <sheetFormatPr defaultRowHeight="14.25" x14ac:dyDescent="0.2"/>
  <cols>
    <col min="1" max="1" width="9.140625" style="1"/>
    <col min="2" max="2" width="6.85546875" style="1" bestFit="1" customWidth="1"/>
    <col min="3" max="3" width="8.7109375" style="1" bestFit="1" customWidth="1"/>
    <col min="4" max="4" width="9.42578125" style="1" bestFit="1" customWidth="1"/>
    <col min="5" max="5" width="6.85546875" style="1" bestFit="1" customWidth="1"/>
    <col min="6" max="6" width="13.7109375" style="1" bestFit="1" customWidth="1"/>
    <col min="7" max="7" width="25.5703125" style="1" customWidth="1"/>
    <col min="8" max="8" width="8.85546875" style="1" bestFit="1" customWidth="1"/>
    <col min="9" max="9" width="10" style="1" bestFit="1" customWidth="1"/>
    <col min="10" max="10" width="9.42578125" style="1" bestFit="1" customWidth="1"/>
    <col min="11" max="11" width="6.85546875" style="1" bestFit="1" customWidth="1"/>
    <col min="12" max="12" width="9" style="1" bestFit="1" customWidth="1"/>
    <col min="13" max="13" width="28.7109375" style="1" customWidth="1"/>
    <col min="14" max="14" width="6.85546875" style="1" bestFit="1" customWidth="1"/>
    <col min="15" max="15" width="8.7109375" style="1" bestFit="1" customWidth="1"/>
    <col min="16" max="16" width="13" style="1" bestFit="1" customWidth="1"/>
    <col min="17" max="17" width="10.28515625" style="1" bestFit="1" customWidth="1"/>
    <col min="18" max="18" width="9" style="1" bestFit="1" customWidth="1"/>
    <col min="19" max="19" width="15.7109375" style="1" bestFit="1" customWidth="1"/>
    <col min="20" max="20" width="21.28515625" style="1" bestFit="1" customWidth="1"/>
    <col min="21" max="16384" width="9.140625" style="1"/>
  </cols>
  <sheetData>
    <row r="2" spans="2:19" s="3" customFormat="1" ht="30.75" customHeight="1" x14ac:dyDescent="0.2">
      <c r="B2" s="9" t="s">
        <v>1</v>
      </c>
      <c r="C2" s="9"/>
      <c r="D2" s="9"/>
      <c r="E2" s="9"/>
      <c r="F2" s="9"/>
      <c r="H2" s="9" t="s">
        <v>13</v>
      </c>
      <c r="I2" s="9"/>
      <c r="J2" s="9"/>
      <c r="K2" s="9"/>
      <c r="L2" s="9"/>
      <c r="N2" s="9" t="s">
        <v>18</v>
      </c>
      <c r="O2" s="9"/>
      <c r="P2" s="9"/>
      <c r="Q2" s="9"/>
      <c r="R2" s="9"/>
      <c r="S2" s="9"/>
    </row>
    <row r="3" spans="2:19" ht="15.75" x14ac:dyDescent="0.2">
      <c r="B3" s="4" t="s">
        <v>4</v>
      </c>
      <c r="C3" s="4" t="s">
        <v>5</v>
      </c>
      <c r="D3" s="4" t="s">
        <v>0</v>
      </c>
      <c r="E3" s="5" t="s">
        <v>7</v>
      </c>
      <c r="F3" s="5" t="s">
        <v>6</v>
      </c>
      <c r="H3" s="4" t="s">
        <v>4</v>
      </c>
      <c r="I3" s="4" t="s">
        <v>5</v>
      </c>
      <c r="J3" s="4" t="s">
        <v>0</v>
      </c>
      <c r="K3" s="5" t="s">
        <v>7</v>
      </c>
      <c r="L3" s="5" t="s">
        <v>6</v>
      </c>
      <c r="N3" s="4" t="s">
        <v>4</v>
      </c>
      <c r="O3" s="4" t="s">
        <v>5</v>
      </c>
      <c r="P3" s="4" t="s">
        <v>14</v>
      </c>
      <c r="Q3" s="5" t="s">
        <v>15</v>
      </c>
      <c r="R3" s="5" t="s">
        <v>6</v>
      </c>
      <c r="S3" s="5" t="s">
        <v>16</v>
      </c>
    </row>
    <row r="4" spans="2:19" x14ac:dyDescent="0.2">
      <c r="B4" s="2">
        <v>2</v>
      </c>
      <c r="C4" s="2">
        <v>2.54</v>
      </c>
      <c r="D4" s="2">
        <v>170</v>
      </c>
      <c r="E4" s="2">
        <f>IF(C4="","",B4-C4)</f>
        <v>-0.54</v>
      </c>
      <c r="F4" s="6">
        <f>IF(D4="","",D4/C4)</f>
        <v>66.929133858267718</v>
      </c>
      <c r="H4" s="2">
        <v>2</v>
      </c>
      <c r="I4" s="2">
        <v>2.19</v>
      </c>
      <c r="J4" s="2">
        <v>146</v>
      </c>
      <c r="K4" s="2">
        <f>IF(I4="","",H4-I4)</f>
        <v>-0.18999999999999995</v>
      </c>
      <c r="L4" s="6">
        <f>IF(J4="","",J4/I4)</f>
        <v>66.666666666666671</v>
      </c>
      <c r="N4" s="2"/>
      <c r="O4" s="2"/>
      <c r="P4" s="2"/>
      <c r="Q4" s="2" t="str">
        <f>IF(O4="","",N4-O4)</f>
        <v/>
      </c>
      <c r="R4" s="6" t="str">
        <f t="shared" ref="R4:R5" si="0">IF(P4="","",P4/O4/15*1023)</f>
        <v/>
      </c>
      <c r="S4" s="6"/>
    </row>
    <row r="5" spans="2:19" x14ac:dyDescent="0.2">
      <c r="B5" s="2">
        <v>2.2000000000000002</v>
      </c>
      <c r="C5" s="2">
        <v>2.83</v>
      </c>
      <c r="D5" s="2">
        <v>190</v>
      </c>
      <c r="E5" s="2">
        <f t="shared" ref="E5:E24" si="1">IF(C5="","",B5-C5)</f>
        <v>-0.62999999999999989</v>
      </c>
      <c r="F5" s="6">
        <f t="shared" ref="F5:F24" si="2">IF(D5="","",D5/C5)</f>
        <v>67.137809187279146</v>
      </c>
      <c r="H5" s="2">
        <v>2.2000000000000002</v>
      </c>
      <c r="I5" s="2">
        <v>2.2599999999999998</v>
      </c>
      <c r="J5" s="2">
        <v>150</v>
      </c>
      <c r="K5" s="2">
        <f t="shared" ref="K5:K24" si="3">H5-I5</f>
        <v>-5.9999999999999609E-2</v>
      </c>
      <c r="L5" s="6">
        <f t="shared" ref="L5:L24" si="4">IF(J5="","",J5/I5)</f>
        <v>66.371681415929203</v>
      </c>
      <c r="N5" s="2"/>
      <c r="O5" s="2"/>
      <c r="P5" s="2"/>
      <c r="Q5" s="2" t="str">
        <f t="shared" ref="Q5:Q24" si="5">IF(O5="","",N5-O5)</f>
        <v/>
      </c>
      <c r="R5" s="6" t="str">
        <f t="shared" si="0"/>
        <v/>
      </c>
      <c r="S5" s="6"/>
    </row>
    <row r="6" spans="2:19" x14ac:dyDescent="0.2">
      <c r="B6" s="2">
        <v>2.4</v>
      </c>
      <c r="C6" s="2">
        <v>3.09</v>
      </c>
      <c r="D6" s="2">
        <v>207</v>
      </c>
      <c r="E6" s="2">
        <f t="shared" si="1"/>
        <v>-0.69</v>
      </c>
      <c r="F6" s="6">
        <f t="shared" si="2"/>
        <v>66.990291262135926</v>
      </c>
      <c r="H6" s="2">
        <v>2.4</v>
      </c>
      <c r="I6" s="2">
        <v>2.4500000000000002</v>
      </c>
      <c r="J6" s="2">
        <v>164</v>
      </c>
      <c r="K6" s="2">
        <f t="shared" si="3"/>
        <v>-5.0000000000000266E-2</v>
      </c>
      <c r="L6" s="6">
        <f t="shared" si="4"/>
        <v>66.938775510204081</v>
      </c>
      <c r="N6" s="2">
        <v>2.4</v>
      </c>
      <c r="O6" s="2">
        <v>2.5499999999999998</v>
      </c>
      <c r="P6" s="2">
        <v>2.4900000000000002</v>
      </c>
      <c r="Q6" s="2">
        <f t="shared" si="5"/>
        <v>-0.14999999999999991</v>
      </c>
      <c r="R6" s="6">
        <f>IF(P6="","",P6/O6/15*1023)</f>
        <v>66.595294117647072</v>
      </c>
      <c r="S6" s="6">
        <f>O6-P6</f>
        <v>5.9999999999999609E-2</v>
      </c>
    </row>
    <row r="7" spans="2:19" x14ac:dyDescent="0.2">
      <c r="B7" s="2">
        <v>2.6</v>
      </c>
      <c r="C7" s="2">
        <v>3.33</v>
      </c>
      <c r="D7" s="2">
        <v>223</v>
      </c>
      <c r="E7" s="2">
        <f t="shared" si="1"/>
        <v>-0.73</v>
      </c>
      <c r="F7" s="6">
        <f t="shared" si="2"/>
        <v>66.966966966966964</v>
      </c>
      <c r="H7" s="2">
        <v>2.6</v>
      </c>
      <c r="I7" s="2">
        <v>2.64</v>
      </c>
      <c r="J7" s="2">
        <v>177</v>
      </c>
      <c r="K7" s="2">
        <f t="shared" si="3"/>
        <v>-4.0000000000000036E-2</v>
      </c>
      <c r="L7" s="6">
        <f t="shared" si="4"/>
        <v>67.045454545454547</v>
      </c>
      <c r="N7" s="2">
        <v>2.6</v>
      </c>
      <c r="O7" s="2">
        <v>2.5499999999999998</v>
      </c>
      <c r="P7" s="2">
        <v>2.5099999999999998</v>
      </c>
      <c r="Q7" s="2">
        <f t="shared" si="5"/>
        <v>5.0000000000000266E-2</v>
      </c>
      <c r="R7" s="6">
        <f t="shared" ref="R7:R24" si="6">IF(P7="","",P7/O7/15*1023)</f>
        <v>67.130196078431368</v>
      </c>
      <c r="S7" s="6">
        <f t="shared" ref="S7:S24" si="7">O7-P7</f>
        <v>4.0000000000000036E-2</v>
      </c>
    </row>
    <row r="8" spans="2:19" x14ac:dyDescent="0.2">
      <c r="B8" s="2">
        <v>2.8</v>
      </c>
      <c r="C8" s="2">
        <v>3.52</v>
      </c>
      <c r="D8" s="2">
        <v>237</v>
      </c>
      <c r="E8" s="2">
        <f t="shared" si="1"/>
        <v>-0.7200000000000002</v>
      </c>
      <c r="F8" s="6">
        <f t="shared" si="2"/>
        <v>67.329545454545453</v>
      </c>
      <c r="H8" s="2">
        <v>2.8</v>
      </c>
      <c r="I8" s="2">
        <v>2.86</v>
      </c>
      <c r="J8" s="2">
        <v>192</v>
      </c>
      <c r="K8" s="2">
        <f t="shared" si="3"/>
        <v>-6.0000000000000053E-2</v>
      </c>
      <c r="L8" s="6">
        <f t="shared" si="4"/>
        <v>67.132867132867133</v>
      </c>
      <c r="N8" s="2">
        <v>2.8</v>
      </c>
      <c r="O8" s="2">
        <v>2.76</v>
      </c>
      <c r="P8" s="2">
        <v>2.73</v>
      </c>
      <c r="Q8" s="2">
        <f t="shared" si="5"/>
        <v>4.0000000000000036E-2</v>
      </c>
      <c r="R8" s="6">
        <f t="shared" si="6"/>
        <v>67.458695652173915</v>
      </c>
      <c r="S8" s="6">
        <f t="shared" si="7"/>
        <v>2.9999999999999805E-2</v>
      </c>
    </row>
    <row r="9" spans="2:19" x14ac:dyDescent="0.2">
      <c r="B9" s="2">
        <v>3</v>
      </c>
      <c r="C9" s="2">
        <v>3.76</v>
      </c>
      <c r="D9" s="2">
        <v>253</v>
      </c>
      <c r="E9" s="2">
        <f t="shared" si="1"/>
        <v>-0.75999999999999979</v>
      </c>
      <c r="F9" s="6">
        <f t="shared" si="2"/>
        <v>67.287234042553195</v>
      </c>
      <c r="H9" s="2">
        <v>3</v>
      </c>
      <c r="I9" s="2">
        <v>3.07</v>
      </c>
      <c r="J9" s="2">
        <v>206</v>
      </c>
      <c r="K9" s="2">
        <f t="shared" si="3"/>
        <v>-6.999999999999984E-2</v>
      </c>
      <c r="L9" s="6">
        <f t="shared" si="4"/>
        <v>67.100977198697066</v>
      </c>
      <c r="N9" s="2">
        <v>3</v>
      </c>
      <c r="O9" s="2">
        <v>2.94</v>
      </c>
      <c r="P9" s="2">
        <v>2.9</v>
      </c>
      <c r="Q9" s="2">
        <f t="shared" si="5"/>
        <v>6.0000000000000053E-2</v>
      </c>
      <c r="R9" s="6">
        <f t="shared" si="6"/>
        <v>67.27210884353741</v>
      </c>
      <c r="S9" s="6">
        <f t="shared" si="7"/>
        <v>4.0000000000000036E-2</v>
      </c>
    </row>
    <row r="10" spans="2:19" x14ac:dyDescent="0.2">
      <c r="B10" s="2">
        <v>3.2</v>
      </c>
      <c r="C10" s="2">
        <v>3.94</v>
      </c>
      <c r="D10" s="2">
        <v>265</v>
      </c>
      <c r="E10" s="2">
        <f t="shared" si="1"/>
        <v>-0.73999999999999977</v>
      </c>
      <c r="F10" s="6">
        <f t="shared" si="2"/>
        <v>67.258883248730967</v>
      </c>
      <c r="H10" s="2">
        <v>3.2</v>
      </c>
      <c r="I10" s="2">
        <v>3.27</v>
      </c>
      <c r="J10" s="2">
        <v>219</v>
      </c>
      <c r="K10" s="2">
        <f t="shared" si="3"/>
        <v>-6.999999999999984E-2</v>
      </c>
      <c r="L10" s="6">
        <f t="shared" si="4"/>
        <v>66.972477064220186</v>
      </c>
      <c r="N10" s="2">
        <v>3.2</v>
      </c>
      <c r="O10" s="2">
        <v>3.16</v>
      </c>
      <c r="P10" s="2">
        <v>3.12</v>
      </c>
      <c r="Q10" s="2">
        <f t="shared" si="5"/>
        <v>4.0000000000000036E-2</v>
      </c>
      <c r="R10" s="6">
        <f t="shared" si="6"/>
        <v>67.336708860759501</v>
      </c>
      <c r="S10" s="6">
        <f t="shared" si="7"/>
        <v>4.0000000000000036E-2</v>
      </c>
    </row>
    <row r="11" spans="2:19" x14ac:dyDescent="0.2">
      <c r="B11" s="2">
        <v>3.4</v>
      </c>
      <c r="C11" s="2">
        <v>4.0999999999999996</v>
      </c>
      <c r="D11" s="2">
        <v>276</v>
      </c>
      <c r="E11" s="2">
        <f t="shared" si="1"/>
        <v>-0.69999999999999973</v>
      </c>
      <c r="F11" s="6">
        <f t="shared" si="2"/>
        <v>67.317073170731717</v>
      </c>
      <c r="H11" s="2">
        <v>3.4</v>
      </c>
      <c r="I11" s="2">
        <v>3.45</v>
      </c>
      <c r="J11" s="2">
        <v>232</v>
      </c>
      <c r="K11" s="2">
        <f t="shared" si="3"/>
        <v>-5.0000000000000266E-2</v>
      </c>
      <c r="L11" s="6">
        <f t="shared" si="4"/>
        <v>67.246376811594203</v>
      </c>
      <c r="N11" s="2">
        <v>3.4</v>
      </c>
      <c r="O11" s="2">
        <v>3.36</v>
      </c>
      <c r="P11" s="2">
        <v>3.31</v>
      </c>
      <c r="Q11" s="2">
        <f t="shared" si="5"/>
        <v>4.0000000000000036E-2</v>
      </c>
      <c r="R11" s="6">
        <f t="shared" si="6"/>
        <v>67.185119047619054</v>
      </c>
      <c r="S11" s="6">
        <f t="shared" si="7"/>
        <v>4.9999999999999822E-2</v>
      </c>
    </row>
    <row r="12" spans="2:19" x14ac:dyDescent="0.2">
      <c r="B12" s="2">
        <v>3.6</v>
      </c>
      <c r="C12" s="2">
        <v>4.2699999999999996</v>
      </c>
      <c r="D12" s="2">
        <v>288</v>
      </c>
      <c r="E12" s="2">
        <f t="shared" si="1"/>
        <v>-0.66999999999999948</v>
      </c>
      <c r="F12" s="6">
        <f t="shared" si="2"/>
        <v>67.44730679156909</v>
      </c>
      <c r="H12" s="2">
        <v>3.6</v>
      </c>
      <c r="I12" s="2">
        <v>3.68</v>
      </c>
      <c r="J12" s="2">
        <v>247</v>
      </c>
      <c r="K12" s="2">
        <f t="shared" si="3"/>
        <v>-8.0000000000000071E-2</v>
      </c>
      <c r="L12" s="6">
        <f t="shared" si="4"/>
        <v>67.119565217391298</v>
      </c>
      <c r="N12" s="2">
        <v>3.6</v>
      </c>
      <c r="O12" s="2">
        <v>3.56</v>
      </c>
      <c r="P12" s="2">
        <v>3.5</v>
      </c>
      <c r="Q12" s="2">
        <f t="shared" si="5"/>
        <v>4.0000000000000036E-2</v>
      </c>
      <c r="R12" s="6">
        <f t="shared" si="6"/>
        <v>67.050561797752806</v>
      </c>
      <c r="S12" s="6">
        <f t="shared" si="7"/>
        <v>6.0000000000000053E-2</v>
      </c>
    </row>
    <row r="13" spans="2:19" x14ac:dyDescent="0.2">
      <c r="B13" s="2">
        <v>3.8</v>
      </c>
      <c r="C13" s="2">
        <v>4.4000000000000004</v>
      </c>
      <c r="D13" s="2">
        <v>297</v>
      </c>
      <c r="E13" s="2">
        <f t="shared" si="1"/>
        <v>-0.60000000000000053</v>
      </c>
      <c r="F13" s="6">
        <f t="shared" si="2"/>
        <v>67.5</v>
      </c>
      <c r="H13" s="2">
        <v>3.8</v>
      </c>
      <c r="I13" s="2">
        <v>3.84</v>
      </c>
      <c r="J13" s="2">
        <v>258</v>
      </c>
      <c r="K13" s="2">
        <f t="shared" si="3"/>
        <v>-4.0000000000000036E-2</v>
      </c>
      <c r="L13" s="6">
        <f t="shared" si="4"/>
        <v>67.1875</v>
      </c>
      <c r="N13" s="2">
        <v>3.8</v>
      </c>
      <c r="O13" s="2">
        <v>3.76</v>
      </c>
      <c r="P13" s="2">
        <v>3.72</v>
      </c>
      <c r="Q13" s="2">
        <f t="shared" si="5"/>
        <v>4.0000000000000036E-2</v>
      </c>
      <c r="R13" s="6">
        <f t="shared" si="6"/>
        <v>67.474468085106395</v>
      </c>
      <c r="S13" s="6">
        <f t="shared" si="7"/>
        <v>3.9999999999999591E-2</v>
      </c>
    </row>
    <row r="14" spans="2:19" x14ac:dyDescent="0.2">
      <c r="B14" s="2">
        <v>4</v>
      </c>
      <c r="C14" s="2">
        <v>4.54</v>
      </c>
      <c r="D14" s="2">
        <v>307</v>
      </c>
      <c r="E14" s="2">
        <f t="shared" si="1"/>
        <v>-0.54</v>
      </c>
      <c r="F14" s="6">
        <f t="shared" si="2"/>
        <v>67.621145374449341</v>
      </c>
      <c r="H14" s="2">
        <v>4</v>
      </c>
      <c r="I14" s="2">
        <v>4.04</v>
      </c>
      <c r="J14" s="2">
        <v>271</v>
      </c>
      <c r="K14" s="2">
        <f t="shared" si="3"/>
        <v>-4.0000000000000036E-2</v>
      </c>
      <c r="L14" s="6">
        <f t="shared" si="4"/>
        <v>67.079207920792072</v>
      </c>
      <c r="N14" s="2">
        <v>4</v>
      </c>
      <c r="O14" s="2">
        <v>3.94</v>
      </c>
      <c r="P14" s="2">
        <v>3.9</v>
      </c>
      <c r="Q14" s="2">
        <f t="shared" si="5"/>
        <v>6.0000000000000053E-2</v>
      </c>
      <c r="R14" s="6">
        <f t="shared" si="6"/>
        <v>67.507614213197968</v>
      </c>
      <c r="S14" s="6">
        <f t="shared" si="7"/>
        <v>4.0000000000000036E-2</v>
      </c>
    </row>
    <row r="15" spans="2:19" x14ac:dyDescent="0.2">
      <c r="B15" s="2">
        <v>4.2</v>
      </c>
      <c r="C15" s="2">
        <v>4.7</v>
      </c>
      <c r="D15" s="2">
        <v>317</v>
      </c>
      <c r="E15" s="2">
        <f t="shared" si="1"/>
        <v>-0.5</v>
      </c>
      <c r="F15" s="6">
        <f t="shared" si="2"/>
        <v>67.446808510638292</v>
      </c>
      <c r="H15" s="2">
        <v>4.2</v>
      </c>
      <c r="I15" s="2">
        <v>4.2699999999999996</v>
      </c>
      <c r="J15" s="2">
        <v>287</v>
      </c>
      <c r="K15" s="2">
        <f t="shared" si="3"/>
        <v>-6.9999999999999396E-2</v>
      </c>
      <c r="L15" s="6">
        <f t="shared" si="4"/>
        <v>67.21311475409837</v>
      </c>
      <c r="N15" s="2">
        <v>4.2</v>
      </c>
      <c r="O15" s="2">
        <v>4.21</v>
      </c>
      <c r="P15" s="2">
        <v>4.16</v>
      </c>
      <c r="Q15" s="2">
        <f t="shared" si="5"/>
        <v>-9.9999999999997868E-3</v>
      </c>
      <c r="R15" s="6">
        <f t="shared" si="6"/>
        <v>67.390023752969128</v>
      </c>
      <c r="S15" s="6">
        <f t="shared" si="7"/>
        <v>4.9999999999999822E-2</v>
      </c>
    </row>
    <row r="16" spans="2:19" x14ac:dyDescent="0.2">
      <c r="B16" s="2">
        <v>4.4000000000000004</v>
      </c>
      <c r="C16" s="2">
        <v>4.79</v>
      </c>
      <c r="D16" s="2">
        <v>323</v>
      </c>
      <c r="E16" s="2">
        <f t="shared" si="1"/>
        <v>-0.38999999999999968</v>
      </c>
      <c r="F16" s="6">
        <f t="shared" si="2"/>
        <v>67.432150313152405</v>
      </c>
      <c r="H16" s="2">
        <v>4.4000000000000004</v>
      </c>
      <c r="I16" s="2">
        <v>4.54</v>
      </c>
      <c r="J16" s="2">
        <v>305</v>
      </c>
      <c r="K16" s="2">
        <f t="shared" si="3"/>
        <v>-0.13999999999999968</v>
      </c>
      <c r="L16" s="6">
        <f t="shared" si="4"/>
        <v>67.180616740088112</v>
      </c>
      <c r="N16" s="2">
        <v>4.4000000000000004</v>
      </c>
      <c r="O16" s="2">
        <v>4.4000000000000004</v>
      </c>
      <c r="P16" s="2">
        <v>4.34</v>
      </c>
      <c r="Q16" s="2">
        <f t="shared" si="5"/>
        <v>0</v>
      </c>
      <c r="R16" s="6">
        <f t="shared" si="6"/>
        <v>67.27</v>
      </c>
      <c r="S16" s="6">
        <f t="shared" si="7"/>
        <v>6.0000000000000497E-2</v>
      </c>
    </row>
    <row r="17" spans="2:20" x14ac:dyDescent="0.2">
      <c r="B17" s="2">
        <v>4.5999999999999996</v>
      </c>
      <c r="C17" s="2">
        <v>4.9800000000000004</v>
      </c>
      <c r="D17" s="2">
        <v>336</v>
      </c>
      <c r="E17" s="2">
        <f t="shared" si="1"/>
        <v>-0.38000000000000078</v>
      </c>
      <c r="F17" s="6">
        <f t="shared" si="2"/>
        <v>67.46987951807229</v>
      </c>
      <c r="H17" s="2">
        <v>4.5999999999999996</v>
      </c>
      <c r="I17" s="2">
        <v>4.7</v>
      </c>
      <c r="J17" s="2">
        <v>316</v>
      </c>
      <c r="K17" s="2">
        <f t="shared" si="3"/>
        <v>-0.10000000000000053</v>
      </c>
      <c r="L17" s="6">
        <f t="shared" si="4"/>
        <v>67.234042553191486</v>
      </c>
      <c r="N17" s="2">
        <v>4.5999999999999996</v>
      </c>
      <c r="O17" s="2">
        <v>4.62</v>
      </c>
      <c r="P17" s="2">
        <v>4.5599999999999996</v>
      </c>
      <c r="Q17" s="2">
        <f t="shared" si="5"/>
        <v>-2.0000000000000462E-2</v>
      </c>
      <c r="R17" s="6">
        <f t="shared" si="6"/>
        <v>67.314285714285703</v>
      </c>
      <c r="S17" s="6">
        <f t="shared" si="7"/>
        <v>6.0000000000000497E-2</v>
      </c>
    </row>
    <row r="18" spans="2:20" x14ac:dyDescent="0.2">
      <c r="B18" s="2">
        <v>4.8</v>
      </c>
      <c r="C18" s="2">
        <v>5.08</v>
      </c>
      <c r="D18" s="2">
        <v>343</v>
      </c>
      <c r="E18" s="2">
        <f t="shared" si="1"/>
        <v>-0.28000000000000025</v>
      </c>
      <c r="F18" s="6">
        <f t="shared" si="2"/>
        <v>67.519685039370074</v>
      </c>
      <c r="H18" s="2">
        <v>4.8</v>
      </c>
      <c r="I18" s="2">
        <v>4.88</v>
      </c>
      <c r="J18" s="2">
        <v>329</v>
      </c>
      <c r="K18" s="2">
        <f t="shared" si="3"/>
        <v>-8.0000000000000071E-2</v>
      </c>
      <c r="L18" s="6">
        <f t="shared" si="4"/>
        <v>67.418032786885249</v>
      </c>
      <c r="N18" s="2">
        <v>4.8</v>
      </c>
      <c r="O18" s="2">
        <v>4.79</v>
      </c>
      <c r="P18" s="2">
        <v>4.75</v>
      </c>
      <c r="Q18" s="2">
        <f t="shared" si="5"/>
        <v>9.9999999999997868E-3</v>
      </c>
      <c r="R18" s="6">
        <f t="shared" si="6"/>
        <v>67.630480167014611</v>
      </c>
      <c r="S18" s="6">
        <f t="shared" si="7"/>
        <v>4.0000000000000036E-2</v>
      </c>
    </row>
    <row r="19" spans="2:20" x14ac:dyDescent="0.2">
      <c r="B19" s="2">
        <v>5</v>
      </c>
      <c r="C19" s="2">
        <v>5.2</v>
      </c>
      <c r="D19" s="2">
        <v>351</v>
      </c>
      <c r="E19" s="2">
        <f t="shared" si="1"/>
        <v>-0.20000000000000018</v>
      </c>
      <c r="F19" s="6">
        <f t="shared" si="2"/>
        <v>67.5</v>
      </c>
      <c r="H19" s="2">
        <v>5</v>
      </c>
      <c r="I19" s="2">
        <v>5.08</v>
      </c>
      <c r="J19" s="2">
        <v>343</v>
      </c>
      <c r="K19" s="2">
        <f t="shared" si="3"/>
        <v>-8.0000000000000071E-2</v>
      </c>
      <c r="L19" s="6">
        <f t="shared" si="4"/>
        <v>67.519685039370074</v>
      </c>
      <c r="N19" s="2">
        <v>5</v>
      </c>
      <c r="O19" s="2">
        <v>4.9800000000000004</v>
      </c>
      <c r="P19" s="2">
        <v>4.9400000000000004</v>
      </c>
      <c r="Q19" s="2">
        <f t="shared" si="5"/>
        <v>1.9999999999999574E-2</v>
      </c>
      <c r="R19" s="6">
        <f t="shared" si="6"/>
        <v>67.652208835341369</v>
      </c>
      <c r="S19" s="6">
        <f t="shared" si="7"/>
        <v>4.0000000000000036E-2</v>
      </c>
    </row>
    <row r="20" spans="2:20" x14ac:dyDescent="0.2">
      <c r="B20" s="2">
        <v>5.2</v>
      </c>
      <c r="C20" s="2">
        <v>5.32</v>
      </c>
      <c r="D20" s="2">
        <v>359</v>
      </c>
      <c r="E20" s="2">
        <f t="shared" si="1"/>
        <v>-0.12000000000000011</v>
      </c>
      <c r="F20" s="6">
        <f t="shared" si="2"/>
        <v>67.481203007518786</v>
      </c>
      <c r="H20" s="2">
        <v>5.2</v>
      </c>
      <c r="I20" s="2">
        <v>5.32</v>
      </c>
      <c r="J20" s="2">
        <v>358</v>
      </c>
      <c r="K20" s="2">
        <f t="shared" si="3"/>
        <v>-0.12000000000000011</v>
      </c>
      <c r="L20" s="6">
        <f t="shared" si="4"/>
        <v>67.293233082706763</v>
      </c>
      <c r="N20" s="2">
        <v>5.2</v>
      </c>
      <c r="O20" s="2">
        <v>5.21</v>
      </c>
      <c r="P20" s="2">
        <v>5.16</v>
      </c>
      <c r="Q20" s="2">
        <f t="shared" si="5"/>
        <v>-9.9999999999997868E-3</v>
      </c>
      <c r="R20" s="6">
        <f t="shared" si="6"/>
        <v>67.545489443378131</v>
      </c>
      <c r="S20" s="6">
        <f t="shared" si="7"/>
        <v>4.9999999999999822E-2</v>
      </c>
    </row>
    <row r="21" spans="2:20" x14ac:dyDescent="0.2">
      <c r="B21" s="2">
        <v>5.4</v>
      </c>
      <c r="C21" s="2">
        <v>5.44</v>
      </c>
      <c r="D21" s="2">
        <v>368</v>
      </c>
      <c r="E21" s="2">
        <f t="shared" si="1"/>
        <v>-4.0000000000000036E-2</v>
      </c>
      <c r="F21" s="6">
        <f t="shared" si="2"/>
        <v>67.647058823529406</v>
      </c>
      <c r="H21" s="2">
        <v>5.4</v>
      </c>
      <c r="I21" s="2">
        <v>5.57</v>
      </c>
      <c r="J21" s="2">
        <v>375</v>
      </c>
      <c r="K21" s="2">
        <f t="shared" si="3"/>
        <v>-0.16999999999999993</v>
      </c>
      <c r="L21" s="6">
        <f t="shared" si="4"/>
        <v>67.324955116696586</v>
      </c>
      <c r="N21" s="2">
        <v>5.4</v>
      </c>
      <c r="O21" s="2">
        <v>5.45</v>
      </c>
      <c r="P21" s="2">
        <v>5.41</v>
      </c>
      <c r="Q21" s="2">
        <f t="shared" si="5"/>
        <v>-4.9999999999999822E-2</v>
      </c>
      <c r="R21" s="6">
        <f t="shared" si="6"/>
        <v>67.699449541284395</v>
      </c>
      <c r="S21" s="6">
        <f t="shared" si="7"/>
        <v>4.0000000000000036E-2</v>
      </c>
    </row>
    <row r="22" spans="2:20" x14ac:dyDescent="0.2">
      <c r="B22" s="2">
        <v>5.6</v>
      </c>
      <c r="C22" s="2">
        <v>5.57</v>
      </c>
      <c r="D22" s="2">
        <v>377</v>
      </c>
      <c r="E22" s="2">
        <f t="shared" si="1"/>
        <v>2.9999999999999361E-2</v>
      </c>
      <c r="F22" s="6">
        <f t="shared" si="2"/>
        <v>67.684021543985637</v>
      </c>
      <c r="H22" s="2">
        <v>5.6</v>
      </c>
      <c r="I22" s="2">
        <v>5.57</v>
      </c>
      <c r="J22" s="2">
        <v>376</v>
      </c>
      <c r="K22" s="2">
        <f t="shared" si="3"/>
        <v>2.9999999999999361E-2</v>
      </c>
      <c r="L22" s="6">
        <f t="shared" si="4"/>
        <v>67.504488330341104</v>
      </c>
      <c r="N22" s="2">
        <v>5.6</v>
      </c>
      <c r="O22" s="2">
        <v>5.58</v>
      </c>
      <c r="P22" s="2">
        <v>5.53</v>
      </c>
      <c r="Q22" s="2">
        <f t="shared" si="5"/>
        <v>1.9999999999999574E-2</v>
      </c>
      <c r="R22" s="6">
        <f t="shared" si="6"/>
        <v>67.588888888888889</v>
      </c>
      <c r="S22" s="6">
        <f t="shared" si="7"/>
        <v>4.9999999999999822E-2</v>
      </c>
    </row>
    <row r="23" spans="2:20" ht="15.75" x14ac:dyDescent="0.2">
      <c r="B23" s="2">
        <v>5.8</v>
      </c>
      <c r="C23" s="2">
        <v>5.57</v>
      </c>
      <c r="D23" s="2">
        <v>377</v>
      </c>
      <c r="E23" s="2">
        <f t="shared" si="1"/>
        <v>0.22999999999999954</v>
      </c>
      <c r="F23" s="6">
        <f t="shared" si="2"/>
        <v>67.684021543985637</v>
      </c>
      <c r="G23" s="4" t="s">
        <v>9</v>
      </c>
      <c r="H23" s="2">
        <v>5.8</v>
      </c>
      <c r="I23" s="2">
        <v>5.86</v>
      </c>
      <c r="J23" s="2">
        <v>395</v>
      </c>
      <c r="K23" s="2">
        <f t="shared" si="3"/>
        <v>-6.0000000000000497E-2</v>
      </c>
      <c r="L23" s="6">
        <f t="shared" si="4"/>
        <v>67.406143344709889</v>
      </c>
      <c r="M23" s="4" t="s">
        <v>9</v>
      </c>
      <c r="N23" s="2">
        <v>5.8</v>
      </c>
      <c r="O23" s="2">
        <v>5.87</v>
      </c>
      <c r="P23" s="2">
        <v>5.81</v>
      </c>
      <c r="Q23" s="2">
        <f t="shared" si="5"/>
        <v>-7.0000000000000284E-2</v>
      </c>
      <c r="R23" s="6">
        <f t="shared" si="6"/>
        <v>67.502896081771709</v>
      </c>
      <c r="S23" s="6">
        <f t="shared" si="7"/>
        <v>6.0000000000000497E-2</v>
      </c>
      <c r="T23" s="4" t="s">
        <v>17</v>
      </c>
    </row>
    <row r="24" spans="2:20" x14ac:dyDescent="0.2">
      <c r="B24" s="2">
        <v>6</v>
      </c>
      <c r="C24" s="2">
        <v>6.18</v>
      </c>
      <c r="D24" s="2">
        <v>418</v>
      </c>
      <c r="E24" s="2">
        <f t="shared" si="1"/>
        <v>-0.17999999999999972</v>
      </c>
      <c r="F24" s="6">
        <f t="shared" si="2"/>
        <v>67.637540453074436</v>
      </c>
      <c r="G24" s="2">
        <f>AVERAGE(E4:E24)</f>
        <v>-0.43571428571428583</v>
      </c>
      <c r="H24" s="2">
        <v>6</v>
      </c>
      <c r="I24" s="2">
        <v>6.18</v>
      </c>
      <c r="J24" s="2">
        <v>416</v>
      </c>
      <c r="K24" s="2">
        <f t="shared" si="3"/>
        <v>-0.17999999999999972</v>
      </c>
      <c r="L24" s="6">
        <f t="shared" si="4"/>
        <v>67.313915857605181</v>
      </c>
      <c r="M24" s="2">
        <f>AVERAGE(K4:K24)</f>
        <v>-8.1904761904761939E-2</v>
      </c>
      <c r="N24" s="2">
        <v>6</v>
      </c>
      <c r="O24" s="2">
        <v>6.02</v>
      </c>
      <c r="P24" s="2">
        <v>5.97</v>
      </c>
      <c r="Q24" s="2">
        <f t="shared" si="5"/>
        <v>-1.9999999999999574E-2</v>
      </c>
      <c r="R24" s="6">
        <f t="shared" si="6"/>
        <v>67.633554817275751</v>
      </c>
      <c r="S24" s="6">
        <f t="shared" si="7"/>
        <v>4.9999999999999822E-2</v>
      </c>
      <c r="T24" s="6">
        <f>AVERAGE(S4:S24)</f>
        <v>4.7368421052631574E-2</v>
      </c>
    </row>
    <row r="31" spans="2:20" x14ac:dyDescent="0.2">
      <c r="S31" s="8" t="s">
        <v>8</v>
      </c>
    </row>
    <row r="49" spans="8:9" ht="15" x14ac:dyDescent="0.2">
      <c r="H49" s="7" t="s">
        <v>2</v>
      </c>
      <c r="I49" s="7" t="s">
        <v>3</v>
      </c>
    </row>
    <row r="50" spans="8:9" x14ac:dyDescent="0.2">
      <c r="H50" s="6">
        <v>2</v>
      </c>
      <c r="I50" s="6">
        <f>200/3</f>
        <v>66.666666666666671</v>
      </c>
    </row>
    <row r="51" spans="8:9" x14ac:dyDescent="0.2">
      <c r="H51" s="6">
        <v>6</v>
      </c>
      <c r="I51" s="6">
        <f>200/3</f>
        <v>66.666666666666671</v>
      </c>
    </row>
    <row r="53" spans="8:9" ht="15" x14ac:dyDescent="0.2">
      <c r="H53" s="7" t="s">
        <v>11</v>
      </c>
      <c r="I53" s="7" t="s">
        <v>12</v>
      </c>
    </row>
    <row r="54" spans="8:9" x14ac:dyDescent="0.2">
      <c r="H54" s="6">
        <v>7970</v>
      </c>
      <c r="I54" s="6">
        <v>12000</v>
      </c>
    </row>
    <row r="55" spans="8:9" ht="15" x14ac:dyDescent="0.2">
      <c r="H55" s="7" t="s">
        <v>10</v>
      </c>
      <c r="I55" s="2">
        <f>I54/H54</f>
        <v>1.5056461731493098</v>
      </c>
    </row>
  </sheetData>
  <mergeCells count="3">
    <mergeCell ref="B2:F2"/>
    <mergeCell ref="H2:L2"/>
    <mergeCell ref="N2:S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Abbott</dc:creator>
  <cp:lastModifiedBy>Felix Abbott</cp:lastModifiedBy>
  <dcterms:created xsi:type="dcterms:W3CDTF">2015-06-05T18:17:20Z</dcterms:created>
  <dcterms:modified xsi:type="dcterms:W3CDTF">2026-05-14T14:18:07Z</dcterms:modified>
</cp:coreProperties>
</file>